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\work\xlsx-ps-kit\fixtures\"/>
    </mc:Choice>
  </mc:AlternateContent>
  <xr:revisionPtr revIDLastSave="0" documentId="8_{F4FC6F43-B6B6-48F6-8C2C-A193A161B0CB}" xr6:coauthVersionLast="47" xr6:coauthVersionMax="47" xr10:uidLastSave="{00000000-0000-0000-0000-000000000000}"/>
  <bookViews>
    <workbookView xWindow="-120" yWindow="-120" windowWidth="29040" windowHeight="17520" xr2:uid="{97139B09-4780-4B52-B9E1-C5AB82698B4F}"/>
  </bookViews>
  <sheets>
    <sheet name="Assumptions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B5" i="2" l="1"/>
  <c r="C4" i="2"/>
  <c r="B6" i="2"/>
  <c r="B7" i="2" l="1"/>
  <c r="C5" i="2"/>
  <c r="D4" i="2"/>
  <c r="C6" i="2"/>
  <c r="C7" i="2" l="1"/>
  <c r="D5" i="2"/>
  <c r="D6" i="2"/>
  <c r="E4" i="2"/>
  <c r="E5" i="2" l="1"/>
  <c r="E7" i="2" s="1"/>
  <c r="E6" i="2"/>
  <c r="F4" i="2"/>
  <c r="D7" i="2"/>
  <c r="F5" i="2" l="1"/>
  <c r="F6" i="2"/>
  <c r="F7" i="2" l="1"/>
</calcChain>
</file>

<file path=xl/sharedStrings.xml><?xml version="1.0" encoding="utf-8"?>
<sst xmlns="http://schemas.openxmlformats.org/spreadsheetml/2006/main" count="16" uniqueCount="16">
  <si>
    <t>5-Year Financial Model - Assumptions</t>
  </si>
  <si>
    <t>Revenue growth rate</t>
  </si>
  <si>
    <t>Gross margin rate</t>
  </si>
  <si>
    <t>Operating expense rate</t>
  </si>
  <si>
    <t>Base revenue - 2024 ($)</t>
  </si>
  <si>
    <t>5-Year Financial Model</t>
  </si>
  <si>
    <t>Year</t>
  </si>
  <si>
    <t>2024</t>
  </si>
  <si>
    <t>2025</t>
  </si>
  <si>
    <t>2026</t>
  </si>
  <si>
    <t>2027</t>
  </si>
  <si>
    <t>2028</t>
  </si>
  <si>
    <t>Revenue</t>
  </si>
  <si>
    <t>Gross Profit</t>
  </si>
  <si>
    <t>Operating Expenses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</si>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</sst>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%"/>
    <numFmt numFmtId="180" formatCode="\$#,##0"/>
    <numFmt numFmtId="181" formatCode="\$#,##0;\(\$#,##0\);\-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9" fontId="4" fillId="0" borderId="0" xfId="0" applyNumberFormat="1" applyFont="1">
      <alignment vertical="center"/>
    </xf>
    <xf numFmtId="180" fontId="4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181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6284-D951-4803-BE1E-A0F7C277DB0B}">
  <dimension ref="A1:B6"/>
  <sheetViews>
    <sheetView tabSelected="1" workbookViewId="0"/>
  </sheetViews>
  <sheetFormatPr defaultRowHeight="18.75" x14ac:dyDescent="0.4"/>
  <cols>
    <col min="1" max="1" width="28.625" customWidth="1"/>
    <col min="2" max="2" width="10.625" bestFit="1" customWidth="1"/>
  </cols>
  <sheetData>
    <row r="1" spans="1:2" x14ac:dyDescent="0.4">
      <c r="A1" s="1" t="s">
        <v>0</v>
      </c>
      <c r="B1" s="2"/>
    </row>
    <row r="2" spans="1:2" x14ac:dyDescent="0.4">
      <c r="A2" s="2"/>
      <c r="B2" s="2"/>
    </row>
    <row r="3" spans="1:2" x14ac:dyDescent="0.4">
      <c r="A3" s="2" t="s">
        <v>1</v>
      </c>
      <c r="B3" s="3">
        <v>0.05</v>
      </c>
    </row>
    <row r="4" spans="1:2" x14ac:dyDescent="0.4">
      <c r="A4" s="2" t="s">
        <v>2</v>
      </c>
      <c r="B4" s="3">
        <v>0.35</v>
      </c>
    </row>
    <row r="5" spans="1:2" x14ac:dyDescent="0.4">
      <c r="A5" s="2" t="s">
        <v>3</v>
      </c>
      <c r="B5" s="3">
        <v>0.2</v>
      </c>
    </row>
    <row r="6" spans="1:2" x14ac:dyDescent="0.4">
      <c r="A6" s="2" t="s">
        <v>4</v>
      </c>
      <c r="B6" s="4">
        <v>1000000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CF40-4620-4CCD-AB7C-EA874A482216}">
  <dimension ref="A1:F7"/>
  <sheetViews>
    <sheetView workbookViewId="0"/>
  </sheetViews>
  <sheetFormatPr defaultRowHeight="18.75" x14ac:dyDescent="0.4"/>
  <cols>
    <col min="1" max="1" width="22.625" customWidth="1"/>
    <col min="2" max="6" width="10.625" bestFit="1" customWidth="1"/>
  </cols>
  <sheetData>
    <row r="1" spans="1:6" x14ac:dyDescent="0.4">
      <c r="A1" s="1" t="s">
        <v>5</v>
      </c>
      <c r="B1" s="2"/>
      <c r="C1" s="2"/>
      <c r="D1" s="2"/>
      <c r="E1" s="2"/>
      <c r="F1" s="2"/>
    </row>
    <row r="2" spans="1:6" x14ac:dyDescent="0.4">
      <c r="A2" s="2"/>
      <c r="B2" s="2"/>
      <c r="C2" s="2"/>
      <c r="D2" s="2"/>
      <c r="E2" s="2"/>
      <c r="F2" s="2"/>
    </row>
    <row r="3" spans="1:6" x14ac:dyDescent="0.4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x14ac:dyDescent="0.4">
      <c r="A4" s="2" t="s">
        <v>12</v>
      </c>
      <c r="B4" s="6">
        <f>Assumptions!$B$6</f>
        <v>1000000</v>
      </c>
      <c r="C4" s="6">
        <f>B4*(1+Assumptions!$B$3)</f>
        <v>1050000</v>
      </c>
      <c r="D4" s="6">
        <f>C4*(1+Assumptions!$B$3)</f>
        <v>1102500</v>
      </c>
      <c r="E4" s="6">
        <f>D4*(1+Assumptions!$B$3)</f>
        <v>1157625</v>
      </c>
      <c r="F4" s="6">
        <f>E4*(1+Assumptions!$B$3)</f>
        <v>1215506.25</v>
      </c>
    </row>
    <row r="5" spans="1:6" x14ac:dyDescent="0.4">
      <c r="A5" s="2" t="s">
        <v>13</v>
      </c>
      <c r="B5" s="6">
        <f>B4*Assumptions!$B$4</f>
        <v>350000</v>
      </c>
      <c r="C5" s="6">
        <f>C4*Assumptions!$B$4</f>
        <v>367500</v>
      </c>
      <c r="D5" s="6">
        <f>D4*Assumptions!$B$4</f>
        <v>385875</v>
      </c>
      <c r="E5" s="6">
        <f>E4*Assumptions!$B$4</f>
        <v>405168.75</v>
      </c>
      <c r="F5" s="6">
        <f>F4*Assumptions!$B$4</f>
        <v>425427.1875</v>
      </c>
    </row>
    <row r="6" spans="1:6" x14ac:dyDescent="0.4">
      <c r="A6" s="2" t="s">
        <v>14</v>
      </c>
      <c r="B6" s="6">
        <f>B4*Assumptions!$B$5</f>
        <v>200000</v>
      </c>
      <c r="C6" s="6">
        <f>C4*Assumptions!$B$5</f>
        <v>210000</v>
      </c>
      <c r="D6" s="6">
        <f>D4*Assumptions!$B$5</f>
        <v>220500</v>
      </c>
      <c r="E6" s="6">
        <f>E4*Assumptions!$B$5</f>
        <v>231525</v>
      </c>
      <c r="F6" s="6">
        <f>F4*Assumptions!$B$5</f>
        <v>243101.25</v>
      </c>
    </row>
    <row r="7" spans="1:6" x14ac:dyDescent="0.4">
      <c r="A7" s="2" t="s">
        <v>15</v>
      </c>
      <c r="B7" s="6">
        <f>B5-B6</f>
        <v>150000</v>
      </c>
      <c r="C7" s="6">
        <f>C5-C6</f>
        <v>157500</v>
      </c>
      <c r="D7" s="6">
        <f>D5-D6</f>
        <v>165375</v>
      </c>
      <c r="E7" s="6">
        <f>E5-E6</f>
        <v>173643.75</v>
      </c>
      <c r="F7" s="6">
        <f>F5-F6</f>
        <v>182325.9375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Assumptions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義和 小林</dc:creator>
  <cp:lastModifiedBy>義和 小林</cp:lastModifiedBy>
  <dcterms:created xsi:type="dcterms:W3CDTF">2026-08-17T16:51:42Z</dcterms:created>
  <dcterms:modified xsi:type="dcterms:W3CDTF">2026-08-17T16:51:43Z</dcterms:modified>
</cp:coreProperties>
</file>